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d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<sst xmlns="http://schemas.openxmlformats.org/spreadsheetml/2006/main" count="333" uniqueCount="187">
  <si>
    <t xml:space="preserve">CycloPlus SA — Master data model v1.1 (single source of truth)</t>
  </si>
  <si>
    <t xml:space="preserve">Blue = inputs. Provenance: A = validated reference data · B = authored, plausible · C = authored for a clean pedagogical result. Model sheet recomputes from here.</t>
  </si>
  <si>
    <t xml:space="preserve">Calendar (value stream brief)</t>
  </si>
  <si>
    <t xml:space="preserve">Working days / year</t>
  </si>
  <si>
    <t xml:space="preserve">d/yr</t>
  </si>
  <si>
    <t xml:space="preserve">A</t>
  </si>
  <si>
    <t xml:space="preserve">VSM brief</t>
  </si>
  <si>
    <t xml:space="preserve">Available minutes / day</t>
  </si>
  <si>
    <t xml:space="preserve">min/d</t>
  </si>
  <si>
    <t xml:space="preserve">1 shift x 8h, VSM brief</t>
  </si>
  <si>
    <t xml:space="preserve">CityLine demand &amp; price</t>
  </si>
  <si>
    <t xml:space="preserve">Annual demand</t>
  </si>
  <si>
    <t xml:space="preserve">units/yr</t>
  </si>
  <si>
    <t xml:space="preserve">VSM &amp; lines</t>
  </si>
  <si>
    <t xml:space="preserve">Average selling price</t>
  </si>
  <si>
    <t xml:space="preserve">CHF</t>
  </si>
  <si>
    <t xml:space="preserve">reference lines</t>
  </si>
  <si>
    <t xml:space="preserve">Totally variable cost / unit</t>
  </si>
  <si>
    <t xml:space="preserve">C</t>
  </si>
  <si>
    <t xml:space="preserve">authored, ~48% of ASP</t>
  </si>
  <si>
    <t xml:space="preserve">CityLine assembly — 7 stations (VSM brief)</t>
  </si>
  <si>
    <t xml:space="preserve">CT (min)</t>
  </si>
  <si>
    <t xml:space="preserve">Setup (min/d)</t>
  </si>
  <si>
    <t xml:space="preserve">Prov</t>
  </si>
  <si>
    <t xml:space="preserve">Frame &amp; painting</t>
  </si>
  <si>
    <t xml:space="preserve">Fork &amp; steering</t>
  </si>
  <si>
    <t xml:space="preserve">Wheels</t>
  </si>
  <si>
    <t xml:space="preserve">Transmission</t>
  </si>
  <si>
    <t xml:space="preserve">Brakes</t>
  </si>
  <si>
    <t xml:space="preserve">Accessories</t>
  </si>
  <si>
    <t xml:space="preserve">Final inspection</t>
  </si>
  <si>
    <t xml:space="preserve">Performance rate (ch.4, OEE)</t>
  </si>
  <si>
    <t xml:space="preserve">Transmission performance rate (TP)</t>
  </si>
  <si>
    <t xml:space="preserve">-</t>
  </si>
  <si>
    <t xml:space="preserve">authored, illustrative performance loss</t>
  </si>
  <si>
    <t xml:space="preserve">Observed WIP between stations (VSM brief)</t>
  </si>
  <si>
    <t xml:space="preserve">Before WS1 (frames)</t>
  </si>
  <si>
    <t xml:space="preserve">WS1-WS2</t>
  </si>
  <si>
    <t xml:space="preserve">WS2-WS3</t>
  </si>
  <si>
    <t xml:space="preserve">WS3-WS4</t>
  </si>
  <si>
    <t xml:space="preserve">WS4-WS5</t>
  </si>
  <si>
    <t xml:space="preserve">WS5-WS6</t>
  </si>
  <si>
    <t xml:space="preserve">WS6-WS7</t>
  </si>
  <si>
    <t xml:space="preserve">Paint capability — thickness µm (capability study brief)</t>
  </si>
  <si>
    <t xml:space="preserve">Lower spec limit</t>
  </si>
  <si>
    <t xml:space="preserve">µm</t>
  </si>
  <si>
    <t xml:space="preserve">Customer spec</t>
  </si>
  <si>
    <t xml:space="preserve">Upper spec limit</t>
  </si>
  <si>
    <t xml:space="preserve">Mean before</t>
  </si>
  <si>
    <t xml:space="preserve">tuned to Cpk 0.46</t>
  </si>
  <si>
    <t xml:space="preserve">Std dev before</t>
  </si>
  <si>
    <t xml:space="preserve">Mean after</t>
  </si>
  <si>
    <t xml:space="preserve">tuned to Cpk 1.21</t>
  </si>
  <si>
    <t xml:space="preserve">Std dev after</t>
  </si>
  <si>
    <t xml:space="preserve">Rework cost</t>
  </si>
  <si>
    <t xml:space="preserve">CHF/frame</t>
  </si>
  <si>
    <t xml:space="preserve">Six Sigma brief</t>
  </si>
  <si>
    <t xml:space="preserve">Six Sigma project cost</t>
  </si>
  <si>
    <t xml:space="preserve">Kingman illustrative station (post-improvement, stable)</t>
  </si>
  <si>
    <t xml:space="preserve">Mean effective process time</t>
  </si>
  <si>
    <t xml:space="preserve">min</t>
  </si>
  <si>
    <t xml:space="preserve">illustrative</t>
  </si>
  <si>
    <t xml:space="preserve">CV of arrivals</t>
  </si>
  <si>
    <t xml:space="preserve">CV process before</t>
  </si>
  <si>
    <t xml:space="preserve">CV process after</t>
  </si>
  <si>
    <t xml:space="preserve">Utilisation point 1</t>
  </si>
  <si>
    <t xml:space="preserve">trap curve</t>
  </si>
  <si>
    <t xml:space="preserve">Utilisation point 2</t>
  </si>
  <si>
    <t xml:space="preserve">Utilisation point 3</t>
  </si>
  <si>
    <t xml:space="preserve">Supply-chain lead times (bullwhip, ch.1)</t>
  </si>
  <si>
    <t xml:space="preserve">Retailer -&gt; warehouse</t>
  </si>
  <si>
    <t xml:space="preserve">wk</t>
  </si>
  <si>
    <t xml:space="preserve">B</t>
  </si>
  <si>
    <t xml:space="preserve">authored</t>
  </si>
  <si>
    <t xml:space="preserve">Warehouse -&gt; assembly</t>
  </si>
  <si>
    <t xml:space="preserve">Assembly production</t>
  </si>
  <si>
    <t xml:space="preserve">Supplier replenishment</t>
  </si>
  <si>
    <t xml:space="preserve">Seasonal peak factor (Mar-Jun)</t>
  </si>
  <si>
    <t xml:space="preserve">End-customer demand CV</t>
  </si>
  <si>
    <t xml:space="preserve">ServicePlus fulfillment (process mining, ch.10)</t>
  </si>
  <si>
    <t xml:space="preserve">Annual orders</t>
  </si>
  <si>
    <t xml:space="preserve">orders/yr</t>
  </si>
  <si>
    <t xml:space="preserve">Backorder rate</t>
  </si>
  <si>
    <t xml:space="preserve">Mean pick time</t>
  </si>
  <si>
    <t xml:space="preserve">Mean pack+ship time</t>
  </si>
  <si>
    <t xml:space="preserve">Mean replenish delay (backorder)</t>
  </si>
  <si>
    <t xml:space="preserve">d</t>
  </si>
  <si>
    <t xml:space="preserve">Other product lines (revenue check, reference lines)</t>
  </si>
  <si>
    <t xml:space="preserve">Volume</t>
  </si>
  <si>
    <t xml:space="preserve">ASP</t>
  </si>
  <si>
    <t xml:space="preserve">E-Custom</t>
  </si>
  <si>
    <t xml:space="preserve">ProCargo</t>
  </si>
  <si>
    <t xml:space="preserve">ProRacing</t>
  </si>
  <si>
    <t xml:space="preserve">ServicePlus</t>
  </si>
  <si>
    <t xml:space="preserve">CityLine process mining — event log generation (ch.10)</t>
  </si>
  <si>
    <t xml:space="preserve">Random seed</t>
  </si>
  <si>
    <t xml:space="preserve">reproducibility (fixed)</t>
  </si>
  <si>
    <t xml:space="preserve">WIP cap (CONWIP)</t>
  </si>
  <si>
    <t xml:space="preserve">units</t>
  </si>
  <si>
    <t xml:space="preserve">observed WIP total (67)</t>
  </si>
  <si>
    <t xml:space="preserve">Warm-up departures discarded</t>
  </si>
  <si>
    <t xml:space="preserve">cases</t>
  </si>
  <si>
    <t xml:space="preserve">before steady state</t>
  </si>
  <si>
    <t xml:space="preserve">Cases kept in the log</t>
  </si>
  <si>
    <t xml:space="preserve">log length</t>
  </si>
  <si>
    <t xml:space="preserve">Processing-time CV</t>
  </si>
  <si>
    <t xml:space="preserve">lognormal per station</t>
  </si>
  <si>
    <t xml:space="preserve">Color change setup</t>
  </si>
  <si>
    <t xml:space="preserve">distributed paint setup (~225/day)</t>
  </si>
  <si>
    <t xml:space="preserve">Color change cadence</t>
  </si>
  <si>
    <t xml:space="preserve">frames</t>
  </si>
  <si>
    <t xml:space="preserve">one change per N frames</t>
  </si>
  <si>
    <t xml:space="preserve">Paint rework repaint time</t>
  </si>
  <si>
    <t xml:space="preserve">per reworked frame</t>
  </si>
  <si>
    <t xml:space="preserve">Final-inspection fail rate</t>
  </si>
  <si>
    <t xml:space="preserve">adjustment loop</t>
  </si>
  <si>
    <t xml:space="preserve">Final adjustment time</t>
  </si>
  <si>
    <t xml:space="preserve">per failed inspection</t>
  </si>
  <si>
    <t xml:space="preserve">Express share</t>
  </si>
  <si>
    <t xml:space="preserve">variant marker</t>
  </si>
  <si>
    <t xml:space="preserve">CycloPlus SA — derived figures (all formulas)</t>
  </si>
  <si>
    <t xml:space="preserve">Do not edit. Change inputs on the Assumptions sheet; these recompute.</t>
  </si>
  <si>
    <t xml:space="preserve">Calendar &amp; demand</t>
  </si>
  <si>
    <t xml:space="preserve">Working weeks / year</t>
  </si>
  <si>
    <t xml:space="preserve">wk/yr</t>
  </si>
  <si>
    <t xml:space="preserve">CityLine daily demand</t>
  </si>
  <si>
    <t xml:space="preserve">units/d</t>
  </si>
  <si>
    <t xml:space="preserve">CityLine weekly demand</t>
  </si>
  <si>
    <t xml:space="preserve">units/wk</t>
  </si>
  <si>
    <t xml:space="preserve">Takt time</t>
  </si>
  <si>
    <t xml:space="preserve">min/unit</t>
  </si>
  <si>
    <t xml:space="preserve">Assembly stations — effective capacity</t>
  </si>
  <si>
    <t xml:space="preserve">Station</t>
  </si>
  <si>
    <t xml:space="preserve">Eff. cap/day</t>
  </si>
  <si>
    <t xml:space="preserve">vs takt</t>
  </si>
  <si>
    <t xml:space="preserve">vs demand</t>
  </si>
  <si>
    <t xml:space="preserve">Line capacity (bottleneck)</t>
  </si>
  <si>
    <t xml:space="preserve">Shortfall vs demand</t>
  </si>
  <si>
    <t xml:space="preserve">Shortfall (%)</t>
  </si>
  <si>
    <t xml:space="preserve">%</t>
  </si>
  <si>
    <t xml:space="preserve">Charge, Capacity and OEE (ch.4)</t>
  </si>
  <si>
    <t xml:space="preserve">Painting theoretical capacity (no losses)</t>
  </si>
  <si>
    <t xml:space="preserve">Painting operational availability, DO</t>
  </si>
  <si>
    <t xml:space="preserve">Painting demonstrated capacity (theo. x DO)</t>
  </si>
  <si>
    <t xml:space="preserve">Transmission demonstrated cycle time (CT/TP)</t>
  </si>
  <si>
    <t xml:space="preserve">Transmission demonstrated capacity</t>
  </si>
  <si>
    <t xml:space="preserve">Flow (Little's Law)</t>
  </si>
  <si>
    <t xml:space="preserve">Total WIP</t>
  </si>
  <si>
    <t xml:space="preserve">Value-added time</t>
  </si>
  <si>
    <t xml:space="preserve">Throughput (= bottleneck)</t>
  </si>
  <si>
    <t xml:space="preserve">Flow time</t>
  </si>
  <si>
    <t xml:space="preserve">Flow efficiency</t>
  </si>
  <si>
    <t xml:space="preserve">Paint capability &amp; Six Sigma economics</t>
  </si>
  <si>
    <t xml:space="preserve">Cp before</t>
  </si>
  <si>
    <t xml:space="preserve">Cpk before</t>
  </si>
  <si>
    <t xml:space="preserve">Cpk after</t>
  </si>
  <si>
    <t xml:space="preserve">Defect rate before</t>
  </si>
  <si>
    <t xml:space="preserve">Defect rate after</t>
  </si>
  <si>
    <t xml:space="preserve">Frames painted / week</t>
  </si>
  <si>
    <t xml:space="preserve">frames/wk</t>
  </si>
  <si>
    <t xml:space="preserve">Weekly rework cost before</t>
  </si>
  <si>
    <t xml:space="preserve">CHF/wk</t>
  </si>
  <si>
    <t xml:space="preserve">Annual rework cost before</t>
  </si>
  <si>
    <t xml:space="preserve">CHF/yr</t>
  </si>
  <si>
    <t xml:space="preserve">Annual rework cost after</t>
  </si>
  <si>
    <t xml:space="preserve">Annual gain</t>
  </si>
  <si>
    <t xml:space="preserve">Payback</t>
  </si>
  <si>
    <t xml:space="preserve">months</t>
  </si>
  <si>
    <t xml:space="preserve">Kingman queue (illustrative station)</t>
  </si>
  <si>
    <t xml:space="preserve">Queue: u=0.90, before (ce=1.0)</t>
  </si>
  <si>
    <t xml:space="preserve">Queue: u=0.90, after (ce=0.4)</t>
  </si>
  <si>
    <t xml:space="preserve">Queue: u=0.95, after (ce=0.4)</t>
  </si>
  <si>
    <t xml:space="preserve">Queue: u=0.98, after (ce=0.4)</t>
  </si>
  <si>
    <t xml:space="preserve">Throughput accounting (ch.3, CityLine)</t>
  </si>
  <si>
    <t xml:space="preserve">Throughput per unit, T = ASP - variable cost</t>
  </si>
  <si>
    <t xml:space="preserve">CHF/unit</t>
  </si>
  <si>
    <t xml:space="preserve">Throughput per day, T x bottleneck rate</t>
  </si>
  <si>
    <t xml:space="preserve">CHF/day</t>
  </si>
  <si>
    <t xml:space="preserve">Throughput per week (5 days)</t>
  </si>
  <si>
    <t xml:space="preserve">Revenue check</t>
  </si>
  <si>
    <t xml:space="preserve">CityLine revenue</t>
  </si>
  <si>
    <t xml:space="preserve">E-Custom revenue</t>
  </si>
  <si>
    <t xml:space="preserve">ProCargo revenue</t>
  </si>
  <si>
    <t xml:space="preserve">ProRacing revenue</t>
  </si>
  <si>
    <t xml:space="preserve">ServicePlus revenue</t>
  </si>
  <si>
    <t xml:space="preserve">Total revenue</t>
  </si>
  <si>
    <t xml:space="preserve">Target (identity)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</si>
</sst>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"/>
    <numFmt numFmtId="167" formatCode="0.00"/>
    <numFmt numFmtId="168" formatCode="0.0"/>
    <numFmt numFmtId="169" formatCode="0.0%"/>
    <numFmt numFmtId="170" formatCode="0.0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1F4E79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7F7F7F"/>
      <name val="Arial"/>
      <family val="0"/>
      <charset val="1"/>
    </font>
    <font>
      <b val="true"/>
      <sz val="8"/>
      <color rgb="FF1F4E79"/>
      <name val="Arial"/>
      <family val="0"/>
      <charset val="1"/>
    </font>
    <font>
      <sz val="9"/>
      <color rgb="FF666666"/>
      <name val="Arial"/>
      <family val="0"/>
      <charset val="1"/>
    </font>
    <font>
      <sz val="8"/>
      <color rgb="FF66666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8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32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5" min="5" style="1" width="8"/>
    <col collapsed="false" customWidth="true" hidden="false" outlineLevel="0" max="6" min="6" style="1" width="26"/>
  </cols>
  <sheetData>
    <row r="1" customFormat="false" ht="17.25" hidden="false" customHeight="true" outlineLevel="0" collapsed="false">
      <c r="B1" s="2" t="s">
        <v>0</v>
      </c>
    </row>
    <row r="2" customFormat="false" ht="15" hidden="false" customHeight="true" outlineLevel="0" collapsed="false">
      <c r="B2" s="3" t="s">
        <v>1</v>
      </c>
    </row>
    <row r="4" customFormat="false" ht="15" hidden="false" customHeight="true" outlineLevel="0" collapsed="false">
      <c r="B4" s="4" t="s">
        <v>2</v>
      </c>
      <c r="C4" s="5"/>
      <c r="D4" s="5"/>
      <c r="E4" s="5"/>
      <c r="F4" s="5"/>
      <c r="G4" s="5"/>
    </row>
    <row r="5" customFormat="false" ht="15" hidden="false" customHeight="true" outlineLevel="0" collapsed="false">
      <c r="B5" s="6" t="s">
        <v>3</v>
      </c>
      <c r="C5" s="7" t="n">
        <v>220</v>
      </c>
      <c r="D5" s="3" t="s">
        <v>4</v>
      </c>
      <c r="E5" s="8" t="s">
        <v>5</v>
      </c>
      <c r="F5" s="9" t="s">
        <v>6</v>
      </c>
    </row>
    <row r="6" customFormat="false" ht="15" hidden="false" customHeight="true" outlineLevel="0" collapsed="false">
      <c r="B6" s="6" t="s">
        <v>7</v>
      </c>
      <c r="C6" s="7" t="n">
        <v>480</v>
      </c>
      <c r="D6" s="3" t="s">
        <v>8</v>
      </c>
      <c r="E6" s="8" t="s">
        <v>5</v>
      </c>
      <c r="F6" s="9" t="s">
        <v>9</v>
      </c>
    </row>
    <row r="8" customFormat="false" ht="15" hidden="false" customHeight="true" outlineLevel="0" collapsed="false">
      <c r="B8" s="4" t="s">
        <v>10</v>
      </c>
      <c r="C8" s="5"/>
      <c r="D8" s="5"/>
      <c r="E8" s="5"/>
      <c r="F8" s="5"/>
      <c r="G8" s="5"/>
    </row>
    <row r="9" customFormat="false" ht="15" hidden="false" customHeight="true" outlineLevel="0" collapsed="false">
      <c r="B9" s="6" t="s">
        <v>11</v>
      </c>
      <c r="C9" s="10" t="n">
        <v>8000</v>
      </c>
      <c r="D9" s="3" t="s">
        <v>12</v>
      </c>
      <c r="E9" s="8" t="s">
        <v>5</v>
      </c>
      <c r="F9" s="9" t="s">
        <v>13</v>
      </c>
    </row>
    <row r="10" customFormat="false" ht="15" hidden="false" customHeight="true" outlineLevel="0" collapsed="false">
      <c r="B10" s="6" t="s">
        <v>14</v>
      </c>
      <c r="C10" s="10" t="n">
        <v>800</v>
      </c>
      <c r="D10" s="3" t="s">
        <v>15</v>
      </c>
      <c r="E10" s="8" t="s">
        <v>5</v>
      </c>
      <c r="F10" s="9" t="s">
        <v>16</v>
      </c>
    </row>
    <row r="11" customFormat="false" ht="15" hidden="false" customHeight="true" outlineLevel="0" collapsed="false">
      <c r="B11" s="6" t="s">
        <v>17</v>
      </c>
      <c r="C11" s="10" t="n">
        <v>380</v>
      </c>
      <c r="D11" s="3" t="s">
        <v>15</v>
      </c>
      <c r="E11" s="11" t="s">
        <v>18</v>
      </c>
      <c r="F11" s="9" t="s">
        <v>19</v>
      </c>
    </row>
    <row r="13" customFormat="false" ht="15" hidden="false" customHeight="true" outlineLevel="0" collapsed="false">
      <c r="B13" s="4" t="s">
        <v>20</v>
      </c>
      <c r="C13" s="5"/>
      <c r="D13" s="5"/>
      <c r="E13" s="5"/>
      <c r="F13" s="5"/>
      <c r="G13" s="5"/>
    </row>
    <row r="14" customFormat="false" ht="15" hidden="false" customHeight="true" outlineLevel="0" collapsed="false">
      <c r="C14" s="12" t="s">
        <v>21</v>
      </c>
      <c r="D14" s="12" t="s">
        <v>22</v>
      </c>
      <c r="E14" s="12" t="s">
        <v>23</v>
      </c>
    </row>
    <row r="15" customFormat="false" ht="15" hidden="false" customHeight="true" outlineLevel="0" collapsed="false">
      <c r="B15" s="6" t="s">
        <v>24</v>
      </c>
      <c r="C15" s="13" t="n">
        <v>10</v>
      </c>
      <c r="D15" s="13" t="n">
        <v>225</v>
      </c>
      <c r="E15" s="8" t="s">
        <v>5</v>
      </c>
    </row>
    <row r="16" customFormat="false" ht="15" hidden="false" customHeight="true" outlineLevel="0" collapsed="false">
      <c r="B16" s="6" t="s">
        <v>25</v>
      </c>
      <c r="C16" s="13" t="n">
        <v>8</v>
      </c>
      <c r="D16" s="13" t="n">
        <v>0</v>
      </c>
      <c r="E16" s="8" t="s">
        <v>5</v>
      </c>
    </row>
    <row r="17" customFormat="false" ht="15" hidden="false" customHeight="true" outlineLevel="0" collapsed="false">
      <c r="B17" s="6" t="s">
        <v>26</v>
      </c>
      <c r="C17" s="13" t="n">
        <v>11</v>
      </c>
      <c r="D17" s="13" t="n">
        <v>0</v>
      </c>
      <c r="E17" s="8" t="s">
        <v>5</v>
      </c>
    </row>
    <row r="18" customFormat="false" ht="15" hidden="false" customHeight="true" outlineLevel="0" collapsed="false">
      <c r="B18" s="6" t="s">
        <v>27</v>
      </c>
      <c r="C18" s="13" t="n">
        <v>16</v>
      </c>
      <c r="D18" s="13" t="n">
        <v>0</v>
      </c>
      <c r="E18" s="8" t="s">
        <v>5</v>
      </c>
    </row>
    <row r="19" customFormat="false" ht="15" hidden="false" customHeight="true" outlineLevel="0" collapsed="false">
      <c r="B19" s="6" t="s">
        <v>28</v>
      </c>
      <c r="C19" s="13" t="n">
        <v>12</v>
      </c>
      <c r="D19" s="13" t="n">
        <v>0</v>
      </c>
      <c r="E19" s="8" t="s">
        <v>5</v>
      </c>
    </row>
    <row r="20" customFormat="false" ht="15" hidden="false" customHeight="true" outlineLevel="0" collapsed="false">
      <c r="B20" s="6" t="s">
        <v>29</v>
      </c>
      <c r="C20" s="13" t="n">
        <v>9</v>
      </c>
      <c r="D20" s="13" t="n">
        <v>0</v>
      </c>
      <c r="E20" s="8" t="s">
        <v>5</v>
      </c>
    </row>
    <row r="21" customFormat="false" ht="15" hidden="false" customHeight="true" outlineLevel="0" collapsed="false">
      <c r="B21" s="6" t="s">
        <v>30</v>
      </c>
      <c r="C21" s="13" t="n">
        <v>7</v>
      </c>
      <c r="D21" s="13" t="n">
        <v>0</v>
      </c>
      <c r="E21" s="8" t="s">
        <v>5</v>
      </c>
    </row>
    <row r="23" customFormat="false" ht="15" hidden="false" customHeight="true" outlineLevel="0" collapsed="false">
      <c r="B23" s="4" t="s">
        <v>31</v>
      </c>
      <c r="C23" s="5"/>
      <c r="D23" s="5"/>
      <c r="E23" s="5"/>
      <c r="F23" s="5"/>
      <c r="G23" s="5"/>
    </row>
    <row r="24" customFormat="false" ht="15" hidden="false" customHeight="true" outlineLevel="0" collapsed="false">
      <c r="B24" s="6" t="s">
        <v>32</v>
      </c>
      <c r="C24" s="14" t="n">
        <v>0.9</v>
      </c>
      <c r="D24" s="3" t="s">
        <v>33</v>
      </c>
      <c r="E24" s="11" t="s">
        <v>18</v>
      </c>
      <c r="F24" s="9" t="s">
        <v>34</v>
      </c>
    </row>
    <row r="26" customFormat="false" ht="15" hidden="false" customHeight="true" outlineLevel="0" collapsed="false">
      <c r="B26" s="4" t="s">
        <v>35</v>
      </c>
      <c r="C26" s="5"/>
      <c r="D26" s="5"/>
      <c r="E26" s="5"/>
      <c r="F26" s="5"/>
      <c r="G26" s="5"/>
    </row>
    <row r="27" customFormat="false" ht="15" hidden="false" customHeight="true" outlineLevel="0" collapsed="false">
      <c r="B27" s="6" t="s">
        <v>36</v>
      </c>
      <c r="C27" s="13" t="n">
        <v>20</v>
      </c>
      <c r="E27" s="8" t="s">
        <v>5</v>
      </c>
    </row>
    <row r="28" customFormat="false" ht="15" hidden="false" customHeight="true" outlineLevel="0" collapsed="false">
      <c r="B28" s="6" t="s">
        <v>37</v>
      </c>
      <c r="C28" s="13" t="n">
        <v>5</v>
      </c>
      <c r="E28" s="8" t="s">
        <v>5</v>
      </c>
    </row>
    <row r="29" customFormat="false" ht="15" hidden="false" customHeight="true" outlineLevel="0" collapsed="false">
      <c r="B29" s="6" t="s">
        <v>38</v>
      </c>
      <c r="C29" s="13" t="n">
        <v>8</v>
      </c>
      <c r="E29" s="8" t="s">
        <v>5</v>
      </c>
    </row>
    <row r="30" customFormat="false" ht="15" hidden="false" customHeight="true" outlineLevel="0" collapsed="false">
      <c r="B30" s="6" t="s">
        <v>39</v>
      </c>
      <c r="C30" s="13" t="n">
        <v>25</v>
      </c>
      <c r="E30" s="8" t="s">
        <v>5</v>
      </c>
    </row>
    <row r="31" customFormat="false" ht="15" hidden="false" customHeight="true" outlineLevel="0" collapsed="false">
      <c r="B31" s="6" t="s">
        <v>40</v>
      </c>
      <c r="C31" s="13" t="n">
        <v>2</v>
      </c>
      <c r="E31" s="8" t="s">
        <v>5</v>
      </c>
    </row>
    <row r="32" customFormat="false" ht="15" hidden="false" customHeight="true" outlineLevel="0" collapsed="false">
      <c r="B32" s="6" t="s">
        <v>41</v>
      </c>
      <c r="C32" s="13" t="n">
        <v>3</v>
      </c>
      <c r="E32" s="8" t="s">
        <v>5</v>
      </c>
    </row>
    <row r="33" customFormat="false" ht="15" hidden="false" customHeight="true" outlineLevel="0" collapsed="false">
      <c r="B33" s="6" t="s">
        <v>42</v>
      </c>
      <c r="C33" s="13" t="n">
        <v>4</v>
      </c>
      <c r="E33" s="8" t="s">
        <v>5</v>
      </c>
    </row>
    <row r="35" customFormat="false" ht="15" hidden="false" customHeight="true" outlineLevel="0" collapsed="false">
      <c r="B35" s="4" t="s">
        <v>43</v>
      </c>
      <c r="C35" s="5"/>
      <c r="D35" s="5"/>
      <c r="E35" s="5"/>
      <c r="F35" s="5"/>
      <c r="G35" s="5"/>
    </row>
    <row r="36" customFormat="false" ht="15" hidden="false" customHeight="true" outlineLevel="0" collapsed="false">
      <c r="B36" s="6" t="s">
        <v>44</v>
      </c>
      <c r="C36" s="13" t="n">
        <v>80</v>
      </c>
      <c r="D36" s="3" t="s">
        <v>45</v>
      </c>
      <c r="E36" s="8" t="s">
        <v>5</v>
      </c>
      <c r="F36" s="9" t="s">
        <v>46</v>
      </c>
    </row>
    <row r="37" customFormat="false" ht="15" hidden="false" customHeight="true" outlineLevel="0" collapsed="false">
      <c r="B37" s="6" t="s">
        <v>47</v>
      </c>
      <c r="C37" s="13" t="n">
        <v>120</v>
      </c>
      <c r="D37" s="3" t="s">
        <v>45</v>
      </c>
      <c r="E37" s="8" t="s">
        <v>5</v>
      </c>
      <c r="F37" s="9" t="s">
        <v>46</v>
      </c>
    </row>
    <row r="38" customFormat="false" ht="15" hidden="false" customHeight="true" outlineLevel="0" collapsed="false">
      <c r="B38" s="6" t="s">
        <v>48</v>
      </c>
      <c r="C38" s="15" t="n">
        <v>98</v>
      </c>
      <c r="D38" s="3" t="s">
        <v>45</v>
      </c>
      <c r="E38" s="11" t="s">
        <v>18</v>
      </c>
      <c r="F38" s="9" t="s">
        <v>49</v>
      </c>
    </row>
    <row r="39" customFormat="false" ht="15" hidden="false" customHeight="true" outlineLevel="0" collapsed="false">
      <c r="B39" s="6" t="s">
        <v>50</v>
      </c>
      <c r="C39" s="15" t="n">
        <v>13</v>
      </c>
      <c r="D39" s="3" t="s">
        <v>45</v>
      </c>
      <c r="E39" s="11" t="s">
        <v>18</v>
      </c>
      <c r="F39" s="9" t="s">
        <v>49</v>
      </c>
    </row>
    <row r="40" customFormat="false" ht="15" hidden="false" customHeight="true" outlineLevel="0" collapsed="false">
      <c r="B40" s="6" t="s">
        <v>51</v>
      </c>
      <c r="C40" s="15" t="n">
        <v>100</v>
      </c>
      <c r="D40" s="3" t="s">
        <v>45</v>
      </c>
      <c r="E40" s="11" t="s">
        <v>18</v>
      </c>
      <c r="F40" s="9" t="s">
        <v>52</v>
      </c>
    </row>
    <row r="41" customFormat="false" ht="15" hidden="false" customHeight="true" outlineLevel="0" collapsed="false">
      <c r="B41" s="6" t="s">
        <v>53</v>
      </c>
      <c r="C41" s="15" t="n">
        <v>5.5</v>
      </c>
      <c r="D41" s="3" t="s">
        <v>45</v>
      </c>
      <c r="E41" s="11" t="s">
        <v>18</v>
      </c>
      <c r="F41" s="9" t="s">
        <v>52</v>
      </c>
    </row>
    <row r="42" customFormat="false" ht="15" hidden="false" customHeight="true" outlineLevel="0" collapsed="false">
      <c r="B42" s="6" t="s">
        <v>54</v>
      </c>
      <c r="C42" s="10" t="n">
        <v>30</v>
      </c>
      <c r="D42" s="3" t="s">
        <v>55</v>
      </c>
      <c r="E42" s="8" t="s">
        <v>5</v>
      </c>
      <c r="F42" s="9" t="s">
        <v>56</v>
      </c>
    </row>
    <row r="43" customFormat="false" ht="15" hidden="false" customHeight="true" outlineLevel="0" collapsed="false">
      <c r="B43" s="6" t="s">
        <v>57</v>
      </c>
      <c r="C43" s="10" t="n">
        <v>30000</v>
      </c>
      <c r="D43" s="3" t="s">
        <v>15</v>
      </c>
      <c r="E43" s="8" t="s">
        <v>5</v>
      </c>
      <c r="F43" s="9" t="s">
        <v>56</v>
      </c>
    </row>
    <row r="45" customFormat="false" ht="15" hidden="false" customHeight="true" outlineLevel="0" collapsed="false">
      <c r="B45" s="4" t="s">
        <v>58</v>
      </c>
      <c r="C45" s="5"/>
      <c r="D45" s="5"/>
      <c r="E45" s="5"/>
      <c r="F45" s="5"/>
      <c r="G45" s="5"/>
    </row>
    <row r="46" customFormat="false" ht="15" hidden="false" customHeight="true" outlineLevel="0" collapsed="false">
      <c r="B46" s="6" t="s">
        <v>59</v>
      </c>
      <c r="C46" s="13" t="n">
        <v>13</v>
      </c>
      <c r="D46" s="3" t="s">
        <v>60</v>
      </c>
      <c r="E46" s="11" t="s">
        <v>18</v>
      </c>
      <c r="F46" s="9" t="s">
        <v>61</v>
      </c>
    </row>
    <row r="47" customFormat="false" ht="15" hidden="false" customHeight="true" outlineLevel="0" collapsed="false">
      <c r="B47" s="6" t="s">
        <v>62</v>
      </c>
      <c r="C47" s="14" t="n">
        <v>0.5</v>
      </c>
      <c r="D47" s="3" t="s">
        <v>33</v>
      </c>
      <c r="E47" s="11" t="s">
        <v>18</v>
      </c>
      <c r="F47" s="9" t="s">
        <v>61</v>
      </c>
    </row>
    <row r="48" customFormat="false" ht="15" hidden="false" customHeight="true" outlineLevel="0" collapsed="false">
      <c r="B48" s="6" t="s">
        <v>63</v>
      </c>
      <c r="C48" s="14" t="n">
        <v>1</v>
      </c>
      <c r="D48" s="3" t="s">
        <v>33</v>
      </c>
      <c r="E48" s="11" t="s">
        <v>18</v>
      </c>
      <c r="F48" s="9" t="s">
        <v>61</v>
      </c>
    </row>
    <row r="49" customFormat="false" ht="15" hidden="false" customHeight="true" outlineLevel="0" collapsed="false">
      <c r="B49" s="6" t="s">
        <v>64</v>
      </c>
      <c r="C49" s="14" t="n">
        <v>0.4</v>
      </c>
      <c r="D49" s="3" t="s">
        <v>33</v>
      </c>
      <c r="E49" s="11" t="s">
        <v>18</v>
      </c>
      <c r="F49" s="9" t="s">
        <v>61</v>
      </c>
    </row>
    <row r="50" customFormat="false" ht="15" hidden="false" customHeight="true" outlineLevel="0" collapsed="false">
      <c r="B50" s="6" t="s">
        <v>65</v>
      </c>
      <c r="C50" s="14" t="n">
        <v>0.9</v>
      </c>
      <c r="D50" s="3" t="s">
        <v>33</v>
      </c>
      <c r="E50" s="11" t="s">
        <v>18</v>
      </c>
      <c r="F50" s="9" t="s">
        <v>66</v>
      </c>
    </row>
    <row r="51" customFormat="false" ht="15" hidden="false" customHeight="true" outlineLevel="0" collapsed="false">
      <c r="B51" s="6" t="s">
        <v>67</v>
      </c>
      <c r="C51" s="14" t="n">
        <v>0.95</v>
      </c>
      <c r="D51" s="3" t="s">
        <v>33</v>
      </c>
      <c r="E51" s="11" t="s">
        <v>18</v>
      </c>
      <c r="F51" s="9" t="s">
        <v>66</v>
      </c>
    </row>
    <row r="52" customFormat="false" ht="15" hidden="false" customHeight="true" outlineLevel="0" collapsed="false">
      <c r="B52" s="6" t="s">
        <v>68</v>
      </c>
      <c r="C52" s="14" t="n">
        <v>0.98</v>
      </c>
      <c r="D52" s="3" t="s">
        <v>33</v>
      </c>
      <c r="E52" s="11" t="s">
        <v>18</v>
      </c>
      <c r="F52" s="9" t="s">
        <v>66</v>
      </c>
    </row>
    <row r="54" customFormat="false" ht="15" hidden="false" customHeight="true" outlineLevel="0" collapsed="false">
      <c r="B54" s="4" t="s">
        <v>69</v>
      </c>
      <c r="C54" s="5"/>
      <c r="D54" s="5"/>
      <c r="E54" s="5"/>
      <c r="F54" s="5"/>
      <c r="G54" s="5"/>
    </row>
    <row r="55" customFormat="false" ht="15" hidden="false" customHeight="true" outlineLevel="0" collapsed="false">
      <c r="B55" s="6" t="s">
        <v>70</v>
      </c>
      <c r="C55" s="13" t="n">
        <v>1</v>
      </c>
      <c r="D55" s="3" t="s">
        <v>71</v>
      </c>
      <c r="E55" s="16" t="s">
        <v>72</v>
      </c>
      <c r="F55" s="9" t="s">
        <v>73</v>
      </c>
    </row>
    <row r="56" customFormat="false" ht="15" hidden="false" customHeight="true" outlineLevel="0" collapsed="false">
      <c r="B56" s="6" t="s">
        <v>74</v>
      </c>
      <c r="C56" s="13" t="n">
        <v>1</v>
      </c>
      <c r="D56" s="3" t="s">
        <v>71</v>
      </c>
      <c r="E56" s="16" t="s">
        <v>72</v>
      </c>
      <c r="F56" s="9" t="s">
        <v>73</v>
      </c>
    </row>
    <row r="57" customFormat="false" ht="15" hidden="false" customHeight="true" outlineLevel="0" collapsed="false">
      <c r="B57" s="6" t="s">
        <v>75</v>
      </c>
      <c r="C57" s="13" t="n">
        <v>2</v>
      </c>
      <c r="D57" s="3" t="s">
        <v>71</v>
      </c>
      <c r="E57" s="16" t="s">
        <v>72</v>
      </c>
      <c r="F57" s="9" t="s">
        <v>73</v>
      </c>
    </row>
    <row r="58" customFormat="false" ht="15" hidden="false" customHeight="true" outlineLevel="0" collapsed="false">
      <c r="B58" s="6" t="s">
        <v>76</v>
      </c>
      <c r="C58" s="13" t="n">
        <v>4</v>
      </c>
      <c r="D58" s="3" t="s">
        <v>71</v>
      </c>
      <c r="E58" s="16" t="s">
        <v>72</v>
      </c>
      <c r="F58" s="9" t="s">
        <v>73</v>
      </c>
    </row>
    <row r="59" customFormat="false" ht="15" hidden="false" customHeight="true" outlineLevel="0" collapsed="false">
      <c r="B59" s="6" t="s">
        <v>77</v>
      </c>
      <c r="C59" s="14" t="n">
        <v>1.2</v>
      </c>
      <c r="D59" s="3" t="s">
        <v>33</v>
      </c>
      <c r="E59" s="11" t="s">
        <v>18</v>
      </c>
      <c r="F59" s="9" t="s">
        <v>73</v>
      </c>
    </row>
    <row r="60" customFormat="false" ht="15" hidden="false" customHeight="true" outlineLevel="0" collapsed="false">
      <c r="B60" s="6" t="s">
        <v>78</v>
      </c>
      <c r="C60" s="14" t="n">
        <v>0.15</v>
      </c>
      <c r="D60" s="3" t="s">
        <v>33</v>
      </c>
      <c r="E60" s="11" t="s">
        <v>18</v>
      </c>
      <c r="F60" s="9" t="s">
        <v>73</v>
      </c>
    </row>
    <row r="62" customFormat="false" ht="15" hidden="false" customHeight="true" outlineLevel="0" collapsed="false">
      <c r="B62" s="4" t="s">
        <v>79</v>
      </c>
      <c r="C62" s="5"/>
      <c r="D62" s="5"/>
      <c r="E62" s="5"/>
      <c r="F62" s="5"/>
      <c r="G62" s="5"/>
    </row>
    <row r="63" customFormat="false" ht="15" hidden="false" customHeight="true" outlineLevel="0" collapsed="false">
      <c r="B63" s="6" t="s">
        <v>80</v>
      </c>
      <c r="C63" s="10" t="n">
        <v>15000</v>
      </c>
      <c r="D63" s="3" t="s">
        <v>81</v>
      </c>
      <c r="E63" s="8" t="s">
        <v>5</v>
      </c>
      <c r="F63" s="9" t="s">
        <v>16</v>
      </c>
    </row>
    <row r="64" customFormat="false" ht="15" hidden="false" customHeight="true" outlineLevel="0" collapsed="false">
      <c r="B64" s="6" t="s">
        <v>82</v>
      </c>
      <c r="C64" s="17" t="n">
        <v>0.12</v>
      </c>
      <c r="D64" s="3" t="s">
        <v>33</v>
      </c>
      <c r="E64" s="11" t="s">
        <v>18</v>
      </c>
      <c r="F64" s="9" t="s">
        <v>73</v>
      </c>
    </row>
    <row r="65" customFormat="false" ht="15" hidden="false" customHeight="true" outlineLevel="0" collapsed="false">
      <c r="B65" s="6" t="s">
        <v>83</v>
      </c>
      <c r="C65" s="13" t="n">
        <v>90</v>
      </c>
      <c r="D65" s="3" t="s">
        <v>60</v>
      </c>
      <c r="E65" s="11" t="s">
        <v>18</v>
      </c>
      <c r="F65" s="9" t="s">
        <v>73</v>
      </c>
    </row>
    <row r="66" customFormat="false" ht="15" hidden="false" customHeight="true" outlineLevel="0" collapsed="false">
      <c r="B66" s="6" t="s">
        <v>84</v>
      </c>
      <c r="C66" s="13" t="n">
        <v>120</v>
      </c>
      <c r="D66" s="3" t="s">
        <v>60</v>
      </c>
      <c r="E66" s="11" t="s">
        <v>18</v>
      </c>
      <c r="F66" s="9" t="s">
        <v>73</v>
      </c>
    </row>
    <row r="67" customFormat="false" ht="15" hidden="false" customHeight="true" outlineLevel="0" collapsed="false">
      <c r="B67" s="6" t="s">
        <v>85</v>
      </c>
      <c r="C67" s="13" t="n">
        <v>7</v>
      </c>
      <c r="D67" s="3" t="s">
        <v>86</v>
      </c>
      <c r="E67" s="11" t="s">
        <v>18</v>
      </c>
      <c r="F67" s="9" t="s">
        <v>73</v>
      </c>
    </row>
    <row r="69" customFormat="false" ht="15" hidden="false" customHeight="true" outlineLevel="0" collapsed="false">
      <c r="B69" s="4" t="s">
        <v>87</v>
      </c>
      <c r="C69" s="5"/>
      <c r="D69" s="5"/>
      <c r="E69" s="5"/>
      <c r="F69" s="5"/>
      <c r="G69" s="5"/>
    </row>
    <row r="70" customFormat="false" ht="15" hidden="false" customHeight="true" outlineLevel="0" collapsed="false">
      <c r="C70" s="12" t="s">
        <v>88</v>
      </c>
      <c r="E70" s="12" t="s">
        <v>89</v>
      </c>
    </row>
    <row r="71" customFormat="false" ht="15" hidden="false" customHeight="true" outlineLevel="0" collapsed="false">
      <c r="B71" s="6" t="s">
        <v>90</v>
      </c>
      <c r="C71" s="10" t="n">
        <v>3500</v>
      </c>
      <c r="E71" s="10" t="n">
        <v>3200</v>
      </c>
      <c r="F71" s="18" t="s">
        <v>5</v>
      </c>
    </row>
    <row r="72" customFormat="false" ht="15" hidden="false" customHeight="true" outlineLevel="0" collapsed="false">
      <c r="B72" s="6" t="s">
        <v>91</v>
      </c>
      <c r="C72" s="10" t="n">
        <v>600</v>
      </c>
      <c r="E72" s="10" t="n">
        <v>4500</v>
      </c>
      <c r="F72" s="18" t="s">
        <v>5</v>
      </c>
    </row>
    <row r="73" customFormat="false" ht="15" hidden="false" customHeight="true" outlineLevel="0" collapsed="false">
      <c r="B73" s="6" t="s">
        <v>92</v>
      </c>
      <c r="C73" s="10" t="n">
        <v>80</v>
      </c>
      <c r="E73" s="10" t="n">
        <v>12000</v>
      </c>
      <c r="F73" s="18" t="s">
        <v>5</v>
      </c>
    </row>
    <row r="74" customFormat="false" ht="15" hidden="false" customHeight="true" outlineLevel="0" collapsed="false">
      <c r="B74" s="6" t="s">
        <v>93</v>
      </c>
      <c r="C74" s="10" t="n">
        <v>15000</v>
      </c>
      <c r="E74" s="10" t="n">
        <v>45</v>
      </c>
      <c r="F74" s="18" t="s">
        <v>5</v>
      </c>
    </row>
    <row r="76" customFormat="false" ht="15" hidden="false" customHeight="true" outlineLevel="0" collapsed="false">
      <c r="B76" s="4" t="s">
        <v>94</v>
      </c>
      <c r="C76" s="4"/>
      <c r="D76" s="4"/>
      <c r="E76" s="4"/>
      <c r="F76" s="4"/>
      <c r="G76" s="4"/>
    </row>
    <row r="77" customFormat="false" ht="15" hidden="false" customHeight="true" outlineLevel="0" collapsed="false">
      <c r="B77" s="6" t="s">
        <v>95</v>
      </c>
      <c r="C77" s="13" t="n">
        <v>42</v>
      </c>
      <c r="D77" s="19" t="s">
        <v>33</v>
      </c>
      <c r="E77" s="8" t="s">
        <v>18</v>
      </c>
      <c r="F77" s="20" t="s">
        <v>96</v>
      </c>
    </row>
    <row r="78" customFormat="false" ht="15" hidden="false" customHeight="true" outlineLevel="0" collapsed="false">
      <c r="B78" s="6" t="s">
        <v>97</v>
      </c>
      <c r="C78" s="21" t="n">
        <f aca="false">SUM(C27:C33)</f>
        <v>67</v>
      </c>
      <c r="D78" s="19" t="s">
        <v>98</v>
      </c>
      <c r="E78" s="8" t="s">
        <v>5</v>
      </c>
      <c r="F78" s="20" t="s">
        <v>99</v>
      </c>
    </row>
    <row r="79" customFormat="false" ht="15" hidden="false" customHeight="true" outlineLevel="0" collapsed="false">
      <c r="B79" s="6" t="s">
        <v>100</v>
      </c>
      <c r="C79" s="13" t="n">
        <v>120</v>
      </c>
      <c r="D79" s="19" t="s">
        <v>101</v>
      </c>
      <c r="E79" s="8" t="s">
        <v>18</v>
      </c>
      <c r="F79" s="20" t="s">
        <v>102</v>
      </c>
    </row>
    <row r="80" customFormat="false" ht="15" hidden="false" customHeight="true" outlineLevel="0" collapsed="false">
      <c r="B80" s="6" t="s">
        <v>103</v>
      </c>
      <c r="C80" s="13" t="n">
        <v>500</v>
      </c>
      <c r="D80" s="19" t="s">
        <v>101</v>
      </c>
      <c r="E80" s="8" t="s">
        <v>18</v>
      </c>
      <c r="F80" s="20" t="s">
        <v>104</v>
      </c>
    </row>
    <row r="81" customFormat="false" ht="15" hidden="false" customHeight="true" outlineLevel="0" collapsed="false">
      <c r="B81" s="6" t="s">
        <v>105</v>
      </c>
      <c r="C81" s="14" t="n">
        <v>0.35</v>
      </c>
      <c r="D81" s="19" t="s">
        <v>33</v>
      </c>
      <c r="E81" s="8" t="s">
        <v>18</v>
      </c>
      <c r="F81" s="20" t="s">
        <v>106</v>
      </c>
    </row>
    <row r="82" customFormat="false" ht="15" hidden="false" customHeight="true" outlineLevel="0" collapsed="false">
      <c r="B82" s="6" t="s">
        <v>107</v>
      </c>
      <c r="C82" s="13" t="n">
        <v>44</v>
      </c>
      <c r="D82" s="19" t="s">
        <v>60</v>
      </c>
      <c r="E82" s="8" t="s">
        <v>18</v>
      </c>
      <c r="F82" s="20" t="s">
        <v>108</v>
      </c>
    </row>
    <row r="83" customFormat="false" ht="15" hidden="false" customHeight="true" outlineLevel="0" collapsed="false">
      <c r="B83" s="6" t="s">
        <v>109</v>
      </c>
      <c r="C83" s="13" t="n">
        <v>5</v>
      </c>
      <c r="D83" s="19" t="s">
        <v>110</v>
      </c>
      <c r="E83" s="8" t="s">
        <v>18</v>
      </c>
      <c r="F83" s="20" t="s">
        <v>111</v>
      </c>
    </row>
    <row r="84" customFormat="false" ht="15" hidden="false" customHeight="true" outlineLevel="0" collapsed="false">
      <c r="B84" s="6" t="s">
        <v>112</v>
      </c>
      <c r="C84" s="13" t="n">
        <v>8</v>
      </c>
      <c r="D84" s="19" t="s">
        <v>60</v>
      </c>
      <c r="E84" s="8" t="s">
        <v>18</v>
      </c>
      <c r="F84" s="20" t="s">
        <v>113</v>
      </c>
    </row>
    <row r="85" customFormat="false" ht="15" hidden="false" customHeight="true" outlineLevel="0" collapsed="false">
      <c r="B85" s="6" t="s">
        <v>114</v>
      </c>
      <c r="C85" s="17" t="n">
        <v>0.05</v>
      </c>
      <c r="D85" s="19" t="s">
        <v>33</v>
      </c>
      <c r="E85" s="8" t="s">
        <v>18</v>
      </c>
      <c r="F85" s="20" t="s">
        <v>115</v>
      </c>
    </row>
    <row r="86" customFormat="false" ht="15" hidden="false" customHeight="true" outlineLevel="0" collapsed="false">
      <c r="B86" s="6" t="s">
        <v>116</v>
      </c>
      <c r="C86" s="13" t="n">
        <v>9</v>
      </c>
      <c r="D86" s="19" t="s">
        <v>60</v>
      </c>
      <c r="E86" s="8" t="s">
        <v>18</v>
      </c>
      <c r="F86" s="20" t="s">
        <v>117</v>
      </c>
    </row>
    <row r="87" customFormat="false" ht="15" hidden="false" customHeight="true" outlineLevel="0" collapsed="false">
      <c r="B87" s="6" t="s">
        <v>118</v>
      </c>
      <c r="C87" s="17" t="n">
        <v>0.02</v>
      </c>
      <c r="D87" s="19" t="s">
        <v>33</v>
      </c>
      <c r="E87" s="8" t="s">
        <v>18</v>
      </c>
      <c r="F87" s="20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10"/>
  </cols>
  <sheetData>
    <row r="1" customFormat="false" ht="17.25" hidden="false" customHeight="true" outlineLevel="0" collapsed="false">
      <c r="B1" s="2" t="s">
        <v>120</v>
      </c>
    </row>
    <row r="2" customFormat="false" ht="15" hidden="false" customHeight="true" outlineLevel="0" collapsed="false">
      <c r="B2" s="3" t="s">
        <v>121</v>
      </c>
    </row>
    <row r="4" customFormat="false" ht="15" hidden="false" customHeight="true" outlineLevel="0" collapsed="false">
      <c r="B4" s="4" t="s">
        <v>122</v>
      </c>
      <c r="C4" s="5"/>
      <c r="D4" s="5"/>
      <c r="E4" s="5"/>
      <c r="F4" s="5"/>
    </row>
    <row r="5" customFormat="false" ht="15" hidden="false" customHeight="true" outlineLevel="0" collapsed="false">
      <c r="B5" s="6" t="s">
        <v>123</v>
      </c>
      <c r="C5" s="22" t="n">
        <f aca="false">Assumptions!$C$5/5</f>
        <v>44</v>
      </c>
      <c r="D5" s="3" t="s">
        <v>124</v>
      </c>
    </row>
    <row r="6" customFormat="false" ht="15" hidden="false" customHeight="true" outlineLevel="0" collapsed="false">
      <c r="B6" s="6" t="s">
        <v>125</v>
      </c>
      <c r="C6" s="22" t="n">
        <f aca="false">Assumptions!$C$9/Assumptions!$C$5</f>
        <v>36.3636363636364</v>
      </c>
      <c r="D6" s="3" t="s">
        <v>126</v>
      </c>
    </row>
    <row r="7" customFormat="false" ht="15" hidden="false" customHeight="true" outlineLevel="0" collapsed="false">
      <c r="B7" s="6" t="s">
        <v>127</v>
      </c>
      <c r="C7" s="22" t="n">
        <f aca="false">Assumptions!$C$9/$C$5</f>
        <v>181.818181818182</v>
      </c>
      <c r="D7" s="3" t="s">
        <v>128</v>
      </c>
    </row>
    <row r="8" customFormat="false" ht="15" hidden="false" customHeight="true" outlineLevel="0" collapsed="false">
      <c r="B8" s="6" t="s">
        <v>129</v>
      </c>
      <c r="C8" s="22" t="n">
        <f aca="false">Assumptions!$C$6/$C$6</f>
        <v>13.2</v>
      </c>
      <c r="D8" s="3" t="s">
        <v>130</v>
      </c>
    </row>
    <row r="10" customFormat="false" ht="15" hidden="false" customHeight="true" outlineLevel="0" collapsed="false">
      <c r="B10" s="4" t="s">
        <v>131</v>
      </c>
      <c r="C10" s="5"/>
      <c r="D10" s="5"/>
      <c r="E10" s="5"/>
      <c r="F10" s="5"/>
    </row>
    <row r="11" customFormat="false" ht="15" hidden="false" customHeight="true" outlineLevel="0" collapsed="false">
      <c r="B11" s="12" t="s">
        <v>132</v>
      </c>
      <c r="C11" s="12" t="s">
        <v>133</v>
      </c>
      <c r="D11" s="12" t="s">
        <v>134</v>
      </c>
      <c r="E11" s="12" t="s">
        <v>135</v>
      </c>
    </row>
    <row r="12" customFormat="false" ht="15" hidden="false" customHeight="true" outlineLevel="0" collapsed="false">
      <c r="B12" s="6" t="s">
        <v>24</v>
      </c>
      <c r="C12" s="22" t="n">
        <f aca="false">(Assumptions!$C$6-Assumptions!$D$15)/Assumptions!$C$15</f>
        <v>25.5</v>
      </c>
      <c r="D12" s="23" t="str">
        <f aca="false">IF(Assumptions!$C$15&gt;$C$8,"CT&gt;takt","ok")</f>
        <v>ok</v>
      </c>
      <c r="E12" s="23" t="str">
        <f aca="false">IF($C$12&lt;$C$6,"SHORT","ok")</f>
        <v>SHORT</v>
      </c>
    </row>
    <row r="13" customFormat="false" ht="15" hidden="false" customHeight="true" outlineLevel="0" collapsed="false">
      <c r="B13" s="6" t="s">
        <v>25</v>
      </c>
      <c r="C13" s="22" t="n">
        <f aca="false">(Assumptions!$C$6-Assumptions!$D$16)/Assumptions!$C$16</f>
        <v>60</v>
      </c>
      <c r="D13" s="23" t="str">
        <f aca="false">IF(Assumptions!$C$16&gt;$C$8,"CT&gt;takt","ok")</f>
        <v>ok</v>
      </c>
      <c r="E13" s="23" t="str">
        <f aca="false">IF($C$13&lt;$C$6,"SHORT","ok")</f>
        <v>ok</v>
      </c>
    </row>
    <row r="14" customFormat="false" ht="15" hidden="false" customHeight="true" outlineLevel="0" collapsed="false">
      <c r="B14" s="6" t="s">
        <v>26</v>
      </c>
      <c r="C14" s="22" t="n">
        <f aca="false">(Assumptions!$C$6-Assumptions!$D$17)/Assumptions!$C$17</f>
        <v>43.6363636363636</v>
      </c>
      <c r="D14" s="23" t="str">
        <f aca="false">IF(Assumptions!$C$17&gt;$C$8,"CT&gt;takt","ok")</f>
        <v>ok</v>
      </c>
      <c r="E14" s="23" t="str">
        <f aca="false">IF($C$14&lt;$C$6,"SHORT","ok")</f>
        <v>ok</v>
      </c>
    </row>
    <row r="15" customFormat="false" ht="15" hidden="false" customHeight="true" outlineLevel="0" collapsed="false">
      <c r="B15" s="6" t="s">
        <v>27</v>
      </c>
      <c r="C15" s="22" t="n">
        <f aca="false">(Assumptions!$C$6-Assumptions!$D$18)/Assumptions!$C$18</f>
        <v>30</v>
      </c>
      <c r="D15" s="23" t="str">
        <f aca="false">IF(Assumptions!$C$18&gt;$C$8,"CT&gt;takt","ok")</f>
        <v>CT&gt;takt</v>
      </c>
      <c r="E15" s="23" t="str">
        <f aca="false">IF($C$15&lt;$C$6,"SHORT","ok")</f>
        <v>SHORT</v>
      </c>
    </row>
    <row r="16" customFormat="false" ht="15" hidden="false" customHeight="true" outlineLevel="0" collapsed="false">
      <c r="B16" s="6" t="s">
        <v>28</v>
      </c>
      <c r="C16" s="22" t="n">
        <f aca="false">(Assumptions!$C$6-Assumptions!$D$19)/Assumptions!$C$19</f>
        <v>40</v>
      </c>
      <c r="D16" s="23" t="str">
        <f aca="false">IF(Assumptions!$C$19&gt;$C$8,"CT&gt;takt","ok")</f>
        <v>ok</v>
      </c>
      <c r="E16" s="23" t="str">
        <f aca="false">IF($C$16&lt;$C$6,"SHORT","ok")</f>
        <v>ok</v>
      </c>
    </row>
    <row r="17" customFormat="false" ht="15" hidden="false" customHeight="true" outlineLevel="0" collapsed="false">
      <c r="B17" s="6" t="s">
        <v>29</v>
      </c>
      <c r="C17" s="22" t="n">
        <f aca="false">(Assumptions!$C$6-Assumptions!$D$20)/Assumptions!$C$20</f>
        <v>53.3333333333333</v>
      </c>
      <c r="D17" s="23" t="str">
        <f aca="false">IF(Assumptions!$C$20&gt;$C$8,"CT&gt;takt","ok")</f>
        <v>ok</v>
      </c>
      <c r="E17" s="23" t="str">
        <f aca="false">IF($C$17&lt;$C$6,"SHORT","ok")</f>
        <v>ok</v>
      </c>
    </row>
    <row r="18" customFormat="false" ht="15" hidden="false" customHeight="true" outlineLevel="0" collapsed="false">
      <c r="B18" s="6" t="s">
        <v>30</v>
      </c>
      <c r="C18" s="22" t="n">
        <f aca="false">(Assumptions!$C$6-Assumptions!$D$21)/Assumptions!$C$21</f>
        <v>68.5714285714286</v>
      </c>
      <c r="D18" s="23" t="str">
        <f aca="false">IF(Assumptions!$C$21&gt;$C$8,"CT&gt;takt","ok")</f>
        <v>ok</v>
      </c>
      <c r="E18" s="23" t="str">
        <f aca="false">IF($C$18&lt;$C$6,"SHORT","ok")</f>
        <v>ok</v>
      </c>
    </row>
    <row r="19" customFormat="false" ht="15" hidden="false" customHeight="true" outlineLevel="0" collapsed="false">
      <c r="B19" s="24" t="s">
        <v>136</v>
      </c>
      <c r="C19" s="25" t="n">
        <f aca="false">MIN($C$12:$C$18)</f>
        <v>25.5</v>
      </c>
      <c r="D19" s="3" t="s">
        <v>126</v>
      </c>
    </row>
    <row r="20" customFormat="false" ht="15" hidden="false" customHeight="true" outlineLevel="0" collapsed="false">
      <c r="B20" s="24" t="s">
        <v>137</v>
      </c>
      <c r="C20" s="25" t="n">
        <f aca="false">$C$6-$C$19</f>
        <v>10.8636363636364</v>
      </c>
      <c r="D20" s="3" t="s">
        <v>126</v>
      </c>
    </row>
    <row r="21" customFormat="false" ht="15" hidden="false" customHeight="true" outlineLevel="0" collapsed="false">
      <c r="B21" s="6" t="s">
        <v>138</v>
      </c>
      <c r="C21" s="26" t="n">
        <f aca="false">$C$20/$C$6</f>
        <v>0.29875</v>
      </c>
      <c r="D21" s="3" t="s">
        <v>139</v>
      </c>
    </row>
    <row r="23" customFormat="false" ht="15" hidden="false" customHeight="true" outlineLevel="0" collapsed="false">
      <c r="B23" s="4" t="s">
        <v>140</v>
      </c>
      <c r="C23" s="5"/>
      <c r="D23" s="5"/>
      <c r="E23" s="5"/>
      <c r="F23" s="5"/>
    </row>
    <row r="24" customFormat="false" ht="15" hidden="false" customHeight="true" outlineLevel="0" collapsed="false">
      <c r="B24" s="6" t="s">
        <v>141</v>
      </c>
      <c r="C24" s="22" t="n">
        <f aca="false">Assumptions!$C$6/Assumptions!$C$15</f>
        <v>48</v>
      </c>
      <c r="D24" s="3" t="s">
        <v>126</v>
      </c>
    </row>
    <row r="25" customFormat="false" ht="15" hidden="false" customHeight="true" outlineLevel="0" collapsed="false">
      <c r="B25" s="6" t="s">
        <v>142</v>
      </c>
      <c r="C25" s="26" t="n">
        <f aca="false">(Assumptions!$C$6-Assumptions!$D$15)/Assumptions!$C$6</f>
        <v>0.53125</v>
      </c>
      <c r="D25" s="3" t="s">
        <v>139</v>
      </c>
    </row>
    <row r="26" customFormat="false" ht="15" hidden="false" customHeight="true" outlineLevel="0" collapsed="false">
      <c r="B26" s="24" t="s">
        <v>143</v>
      </c>
      <c r="C26" s="27" t="n">
        <f aca="false">$C$24*$C$25</f>
        <v>25.5</v>
      </c>
      <c r="D26" s="3" t="s">
        <v>126</v>
      </c>
    </row>
    <row r="28" customFormat="false" ht="15" hidden="false" customHeight="true" outlineLevel="0" collapsed="false">
      <c r="B28" s="6" t="s">
        <v>144</v>
      </c>
      <c r="C28" s="28" t="n">
        <f aca="false">Assumptions!$C$18/Assumptions!$C$24</f>
        <v>17.7777777777778</v>
      </c>
      <c r="D28" s="3" t="s">
        <v>60</v>
      </c>
    </row>
    <row r="29" customFormat="false" ht="15" hidden="false" customHeight="true" outlineLevel="0" collapsed="false">
      <c r="B29" s="24" t="s">
        <v>145</v>
      </c>
      <c r="C29" s="27" t="n">
        <f aca="false">Assumptions!$C$6/$C$28</f>
        <v>27</v>
      </c>
      <c r="D29" s="3" t="s">
        <v>126</v>
      </c>
    </row>
    <row r="31" customFormat="false" ht="15" hidden="false" customHeight="true" outlineLevel="0" collapsed="false">
      <c r="B31" s="4" t="s">
        <v>146</v>
      </c>
      <c r="C31" s="5"/>
      <c r="D31" s="5"/>
      <c r="E31" s="5"/>
      <c r="F31" s="5"/>
    </row>
    <row r="32" customFormat="false" ht="15" hidden="false" customHeight="true" outlineLevel="0" collapsed="false">
      <c r="B32" s="6" t="s">
        <v>147</v>
      </c>
      <c r="C32" s="29" t="n">
        <f aca="false">SUM(Assumptions!$C$27:$C$33)</f>
        <v>67</v>
      </c>
      <c r="D32" s="3" t="s">
        <v>98</v>
      </c>
    </row>
    <row r="33" customFormat="false" ht="15" hidden="false" customHeight="true" outlineLevel="0" collapsed="false">
      <c r="B33" s="6" t="s">
        <v>148</v>
      </c>
      <c r="C33" s="29" t="n">
        <f aca="false">Assumptions!$C$15+Assumptions!$C$16+Assumptions!$C$17+Assumptions!$C$18+Assumptions!$C$19+Assumptions!$C$20+Assumptions!$C$21</f>
        <v>73</v>
      </c>
      <c r="D33" s="3" t="s">
        <v>60</v>
      </c>
    </row>
    <row r="34" customFormat="false" ht="15" hidden="false" customHeight="true" outlineLevel="0" collapsed="false">
      <c r="B34" s="6" t="s">
        <v>149</v>
      </c>
      <c r="C34" s="22" t="n">
        <f aca="false">$C$19</f>
        <v>25.5</v>
      </c>
      <c r="D34" s="3" t="s">
        <v>126</v>
      </c>
    </row>
    <row r="35" customFormat="false" ht="15" hidden="false" customHeight="true" outlineLevel="0" collapsed="false">
      <c r="B35" s="6" t="s">
        <v>150</v>
      </c>
      <c r="C35" s="28" t="n">
        <f aca="false">$C$32/$C$34</f>
        <v>2.62745098039216</v>
      </c>
      <c r="D35" s="3" t="s">
        <v>86</v>
      </c>
    </row>
    <row r="36" customFormat="false" ht="15" hidden="false" customHeight="true" outlineLevel="0" collapsed="false">
      <c r="B36" s="6" t="s">
        <v>150</v>
      </c>
      <c r="C36" s="30" t="n">
        <f aca="false">$C$35*Assumptions!$C$6</f>
        <v>1261.17647058824</v>
      </c>
      <c r="D36" s="3" t="s">
        <v>60</v>
      </c>
    </row>
    <row r="37" customFormat="false" ht="15" hidden="false" customHeight="true" outlineLevel="0" collapsed="false">
      <c r="B37" s="6" t="s">
        <v>151</v>
      </c>
      <c r="C37" s="26" t="n">
        <f aca="false">$C$33/$C$36</f>
        <v>0.0578824626865672</v>
      </c>
      <c r="D37" s="3" t="s">
        <v>139</v>
      </c>
    </row>
    <row r="39" customFormat="false" ht="15" hidden="false" customHeight="true" outlineLevel="0" collapsed="false">
      <c r="B39" s="4" t="s">
        <v>152</v>
      </c>
      <c r="C39" s="5"/>
      <c r="D39" s="5"/>
      <c r="E39" s="5"/>
      <c r="F39" s="5"/>
    </row>
    <row r="40" customFormat="false" ht="15" hidden="false" customHeight="true" outlineLevel="0" collapsed="false">
      <c r="B40" s="6" t="s">
        <v>153</v>
      </c>
      <c r="C40" s="28" t="n">
        <f aca="false">(Assumptions!$C$37-Assumptions!$C$36)/(6*Assumptions!$C$39)</f>
        <v>0.512820512820513</v>
      </c>
      <c r="D40" s="3" t="s">
        <v>33</v>
      </c>
    </row>
    <row r="41" customFormat="false" ht="15" hidden="false" customHeight="true" outlineLevel="0" collapsed="false">
      <c r="B41" s="6" t="s">
        <v>154</v>
      </c>
      <c r="C41" s="28" t="n">
        <f aca="false">MIN(Assumptions!$C$37-Assumptions!$C$38,Assumptions!$C$38-Assumptions!$C$36)/(3*Assumptions!$C$39)</f>
        <v>0.461538461538462</v>
      </c>
      <c r="D41" s="3" t="s">
        <v>33</v>
      </c>
    </row>
    <row r="42" customFormat="false" ht="15" hidden="false" customHeight="true" outlineLevel="0" collapsed="false">
      <c r="B42" s="6" t="s">
        <v>155</v>
      </c>
      <c r="C42" s="28" t="n">
        <f aca="false">MIN(Assumptions!$C$37-Assumptions!$C$40,Assumptions!$C$40-Assumptions!$C$36)/(3*Assumptions!$C$41)</f>
        <v>1.21212121212121</v>
      </c>
      <c r="D42" s="3" t="s">
        <v>33</v>
      </c>
    </row>
    <row r="43" customFormat="false" ht="15" hidden="false" customHeight="true" outlineLevel="0" collapsed="false">
      <c r="B43" s="6" t="s">
        <v>156</v>
      </c>
      <c r="C43" s="26" t="n">
        <f aca="false">NORMDIST(Assumptions!$C$36,Assumptions!$C$38,Assumptions!$C$39,1)+(1-NORMDIST(Assumptions!$C$37,Assumptions!$C$38,Assumptions!$C$39,1))</f>
        <v>0.128378713302195</v>
      </c>
      <c r="D43" s="3" t="s">
        <v>139</v>
      </c>
    </row>
    <row r="44" customFormat="false" ht="15" hidden="false" customHeight="true" outlineLevel="0" collapsed="false">
      <c r="B44" s="6" t="s">
        <v>157</v>
      </c>
      <c r="C44" s="31" t="n">
        <f aca="false">NORMDIST(Assumptions!$C$36,Assumptions!$C$40,Assumptions!$C$41,1)+(1-NORMDIST(Assumptions!$C$37,Assumptions!$C$40,Assumptions!$C$41,1))</f>
        <v>0.000276513915638163</v>
      </c>
      <c r="D44" s="3" t="s">
        <v>139</v>
      </c>
    </row>
    <row r="45" customFormat="false" ht="15" hidden="false" customHeight="true" outlineLevel="0" collapsed="false">
      <c r="B45" s="6" t="s">
        <v>158</v>
      </c>
      <c r="C45" s="22" t="n">
        <f aca="false">$C$34*5</f>
        <v>127.5</v>
      </c>
      <c r="D45" s="3" t="s">
        <v>159</v>
      </c>
    </row>
    <row r="46" customFormat="false" ht="15" hidden="false" customHeight="true" outlineLevel="0" collapsed="false">
      <c r="B46" s="6" t="s">
        <v>160</v>
      </c>
      <c r="C46" s="30" t="n">
        <f aca="false">$C$45*$C$43*Assumptions!$C$42</f>
        <v>491.048578380895</v>
      </c>
      <c r="D46" s="3" t="s">
        <v>161</v>
      </c>
    </row>
    <row r="47" customFormat="false" ht="15" hidden="false" customHeight="true" outlineLevel="0" collapsed="false">
      <c r="B47" s="6" t="s">
        <v>162</v>
      </c>
      <c r="C47" s="30" t="n">
        <f aca="false">$C$46*$C$5</f>
        <v>21606.1374487594</v>
      </c>
      <c r="D47" s="3" t="s">
        <v>163</v>
      </c>
    </row>
    <row r="48" customFormat="false" ht="15" hidden="false" customHeight="true" outlineLevel="0" collapsed="false">
      <c r="B48" s="6" t="s">
        <v>164</v>
      </c>
      <c r="C48" s="30" t="n">
        <f aca="false">$C$45*$C$44*Assumptions!$C$42*$C$5</f>
        <v>46.5372920019028</v>
      </c>
      <c r="D48" s="3" t="s">
        <v>163</v>
      </c>
    </row>
    <row r="49" customFormat="false" ht="15" hidden="false" customHeight="true" outlineLevel="0" collapsed="false">
      <c r="B49" s="24" t="s">
        <v>165</v>
      </c>
      <c r="C49" s="32" t="n">
        <f aca="false">$C$47-$C$48</f>
        <v>21559.6001567575</v>
      </c>
      <c r="D49" s="3" t="s">
        <v>163</v>
      </c>
    </row>
    <row r="50" customFormat="false" ht="15" hidden="false" customHeight="true" outlineLevel="0" collapsed="false">
      <c r="B50" s="6" t="s">
        <v>166</v>
      </c>
      <c r="C50" s="22" t="n">
        <f aca="false">Assumptions!$C$43/$C$49*12</f>
        <v>16.6978977987755</v>
      </c>
      <c r="D50" s="3" t="s">
        <v>167</v>
      </c>
    </row>
    <row r="52" customFormat="false" ht="15" hidden="false" customHeight="true" outlineLevel="0" collapsed="false">
      <c r="B52" s="4" t="s">
        <v>168</v>
      </c>
      <c r="C52" s="5"/>
      <c r="D52" s="5"/>
      <c r="E52" s="5"/>
      <c r="F52" s="5"/>
    </row>
    <row r="53" customFormat="false" ht="15" hidden="false" customHeight="true" outlineLevel="0" collapsed="false">
      <c r="B53" s="6" t="s">
        <v>169</v>
      </c>
      <c r="C53" s="22" t="n">
        <f aca="false">((Assumptions!$C$47^2+Assumptions!$C$48^2)/2)*(Assumptions!$C$50/(1-Assumptions!$C$50))*Assumptions!$C$46</f>
        <v>73.125</v>
      </c>
      <c r="D53" s="3" t="s">
        <v>60</v>
      </c>
    </row>
    <row r="54" customFormat="false" ht="15" hidden="false" customHeight="true" outlineLevel="0" collapsed="false">
      <c r="B54" s="6" t="s">
        <v>170</v>
      </c>
      <c r="C54" s="22" t="n">
        <f aca="false">((Assumptions!$C$47^2+Assumptions!$C$49^2)/2)*(Assumptions!$C$50/(1-Assumptions!$C$50))*Assumptions!$C$46</f>
        <v>23.985</v>
      </c>
      <c r="D54" s="3" t="s">
        <v>60</v>
      </c>
    </row>
    <row r="55" customFormat="false" ht="15" hidden="false" customHeight="true" outlineLevel="0" collapsed="false">
      <c r="B55" s="6" t="s">
        <v>171</v>
      </c>
      <c r="C55" s="22" t="n">
        <f aca="false">((Assumptions!$C$47^2+Assumptions!$C$49^2)/2)*(Assumptions!$C$51/(1-Assumptions!$C$51))*Assumptions!$C$46</f>
        <v>50.635</v>
      </c>
      <c r="D55" s="3" t="s">
        <v>60</v>
      </c>
    </row>
    <row r="56" customFormat="false" ht="15" hidden="false" customHeight="true" outlineLevel="0" collapsed="false">
      <c r="B56" s="6" t="s">
        <v>172</v>
      </c>
      <c r="C56" s="22" t="n">
        <f aca="false">((Assumptions!$C$47^2+Assumptions!$C$49^2)/2)*(Assumptions!$C$52/(1-Assumptions!$C$52))*Assumptions!$C$46</f>
        <v>130.585</v>
      </c>
      <c r="D56" s="3" t="s">
        <v>60</v>
      </c>
    </row>
    <row r="58" customFormat="false" ht="15" hidden="false" customHeight="true" outlineLevel="0" collapsed="false">
      <c r="B58" s="4" t="s">
        <v>173</v>
      </c>
      <c r="C58" s="5"/>
      <c r="D58" s="5"/>
      <c r="E58" s="5"/>
      <c r="F58" s="5"/>
    </row>
    <row r="59" customFormat="false" ht="15" hidden="false" customHeight="true" outlineLevel="0" collapsed="false">
      <c r="B59" s="6" t="s">
        <v>174</v>
      </c>
      <c r="C59" s="30" t="n">
        <f aca="false">Assumptions!$C$10-Assumptions!$C$11</f>
        <v>420</v>
      </c>
      <c r="D59" s="3" t="s">
        <v>175</v>
      </c>
    </row>
    <row r="60" customFormat="false" ht="15" hidden="false" customHeight="true" outlineLevel="0" collapsed="false">
      <c r="B60" s="24" t="s">
        <v>176</v>
      </c>
      <c r="C60" s="32" t="n">
        <f aca="false">$C$59*$C$19</f>
        <v>10710</v>
      </c>
      <c r="D60" s="3" t="s">
        <v>177</v>
      </c>
    </row>
    <row r="61" customFormat="false" ht="15" hidden="false" customHeight="true" outlineLevel="0" collapsed="false">
      <c r="B61" s="6" t="s">
        <v>178</v>
      </c>
      <c r="C61" s="30" t="n">
        <f aca="false">$C$59*$C$19*5</f>
        <v>53550</v>
      </c>
      <c r="D61" s="3" t="s">
        <v>161</v>
      </c>
    </row>
    <row r="63" customFormat="false" ht="15" hidden="false" customHeight="true" outlineLevel="0" collapsed="false">
      <c r="B63" s="4" t="s">
        <v>179</v>
      </c>
      <c r="C63" s="5"/>
      <c r="D63" s="5"/>
      <c r="E63" s="5"/>
      <c r="F63" s="5"/>
    </row>
    <row r="64" customFormat="false" ht="15" hidden="false" customHeight="true" outlineLevel="0" collapsed="false">
      <c r="B64" s="6" t="s">
        <v>180</v>
      </c>
      <c r="C64" s="30" t="n">
        <f aca="false">Assumptions!$C$9*Assumptions!$C$10</f>
        <v>6400000</v>
      </c>
      <c r="D64" s="3" t="s">
        <v>15</v>
      </c>
    </row>
    <row r="65" customFormat="false" ht="15" hidden="false" customHeight="true" outlineLevel="0" collapsed="false">
      <c r="B65" s="6" t="s">
        <v>181</v>
      </c>
      <c r="C65" s="30" t="n">
        <f aca="false">Assumptions!$C$71*Assumptions!$E$71</f>
        <v>11200000</v>
      </c>
      <c r="D65" s="3" t="s">
        <v>15</v>
      </c>
    </row>
    <row r="66" customFormat="false" ht="15" hidden="false" customHeight="true" outlineLevel="0" collapsed="false">
      <c r="B66" s="6" t="s">
        <v>182</v>
      </c>
      <c r="C66" s="30" t="n">
        <f aca="false">Assumptions!$C$72*Assumptions!$E$72</f>
        <v>2700000</v>
      </c>
      <c r="D66" s="3" t="s">
        <v>15</v>
      </c>
    </row>
    <row r="67" customFormat="false" ht="15" hidden="false" customHeight="true" outlineLevel="0" collapsed="false">
      <c r="B67" s="6" t="s">
        <v>183</v>
      </c>
      <c r="C67" s="30" t="n">
        <f aca="false">Assumptions!$C$73*Assumptions!$E$73</f>
        <v>960000</v>
      </c>
      <c r="D67" s="3" t="s">
        <v>15</v>
      </c>
    </row>
    <row r="68" customFormat="false" ht="15" hidden="false" customHeight="true" outlineLevel="0" collapsed="false">
      <c r="B68" s="6" t="s">
        <v>184</v>
      </c>
      <c r="C68" s="30" t="n">
        <f aca="false">Assumptions!$C$74*Assumptions!$E$74</f>
        <v>675000</v>
      </c>
      <c r="D68" s="3" t="s">
        <v>15</v>
      </c>
    </row>
    <row r="69" customFormat="false" ht="15" hidden="false" customHeight="true" outlineLevel="0" collapsed="false">
      <c r="B69" s="24" t="s">
        <v>185</v>
      </c>
      <c r="C69" s="32" t="n">
        <f aca="false">SUM($C$64:$C$68)</f>
        <v>21935000</v>
      </c>
      <c r="D69" s="3" t="s">
        <v>15</v>
      </c>
    </row>
    <row r="70" customFormat="false" ht="15" hidden="false" customHeight="true" outlineLevel="0" collapsed="false">
      <c r="B70" s="6" t="s">
        <v>186</v>
      </c>
      <c r="C70" s="30" t="n">
        <f aca="false">22000000</f>
        <v>22000000</v>
      </c>
      <c r="D70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2026-07-07T05:58:59Z</dcterms:created>
  <dc:creator>openpyxl</dc:creator>
  <dc:description/>
  <dc:language>en-US</dc:language>
  <cp:lastModifiedBy/>
  <dcterms:modified xsi:type="dcterms:W3CDTF">2026-07-12T18:14:25Z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